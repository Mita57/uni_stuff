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minimized="1" xWindow="-120" yWindow="-120" windowWidth="28110" windowHeight="16440" activeTab="2"/>
  </bookViews>
  <sheets>
    <sheet name="Студенты" sheetId="1" r:id="rId1"/>
    <sheet name="ЛабРаб" sheetId="2" r:id="rId2"/>
    <sheet name="Сдачи" sheetId="3" r:id="rId3"/>
    <sheet name="Ред_Ст" sheetId="4" r:id="rId4"/>
    <sheet name="Ред_ла" sheetId="5" r:id="rId5"/>
    <sheet name="СдачиРед" sheetId="6" r:id="rId6"/>
  </sheets>
  <definedNames>
    <definedName name="_xlnm._FilterDatabase" localSheetId="1" hidden="1">ЛабРаб!$B$4:$D$9</definedName>
    <definedName name="_xlnm._FilterDatabase" localSheetId="2" hidden="1">Сдачи!$A$5:$G$15</definedName>
    <definedName name="_xlnm._FilterDatabase" localSheetId="0" hidden="1">Студенты!$A$4:$C$11</definedName>
    <definedName name="_xlnm.Criteria" localSheetId="1">ЛабРаб!$B$1:$D$1</definedName>
    <definedName name="_xlnm.Criteria" localSheetId="2">Сдачи!$A$1:$G$1</definedName>
    <definedName name="_xlnm.Criteria" localSheetId="0">Студенты!$A$1:$C$1</definedName>
    <definedName name="Маркова_М.М.">Студенты!$A$11:$A$172</definedName>
    <definedName name="Название">ЛабРаб!$B$5:$B$526</definedName>
    <definedName name="Ф">Студенты!$A$11:$A$172</definedName>
    <definedName name="Ф.И.О.">Студенты!$A$6:$A$10</definedName>
    <definedName name="ФИ">Студенты!$A$4:$A$480</definedName>
    <definedName name="ФИО">Студенты!$B$6:$B$1048576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6" i="3" l="1"/>
  <c r="D6" i="3"/>
  <c r="B6" i="3"/>
  <c r="F7" i="3"/>
  <c r="D7" i="3"/>
  <c r="B7" i="3"/>
  <c r="F8" i="3"/>
  <c r="D8" i="3"/>
  <c r="B8" i="3"/>
  <c r="F9" i="3"/>
  <c r="D9" i="3"/>
  <c r="B9" i="3"/>
  <c r="F10" i="3"/>
  <c r="D10" i="3"/>
  <c r="B10" i="3"/>
  <c r="F11" i="3"/>
  <c r="D11" i="3"/>
  <c r="B11" i="3"/>
  <c r="F12" i="3"/>
  <c r="D12" i="3"/>
  <c r="B12" i="3"/>
  <c r="F13" i="3"/>
  <c r="D13" i="3"/>
  <c r="B13" i="3"/>
  <c r="F14" i="3"/>
  <c r="D14" i="3"/>
  <c r="B14" i="3"/>
  <c r="F15" i="3"/>
  <c r="D15" i="3"/>
  <c r="B15" i="3"/>
  <c r="F4" i="6" l="1"/>
  <c r="D1" i="6"/>
  <c r="W32" i="3" l="1"/>
  <c r="U32" i="3"/>
  <c r="S32" i="3"/>
  <c r="W31" i="3"/>
  <c r="U31" i="3"/>
  <c r="S31" i="3"/>
  <c r="W30" i="3"/>
  <c r="U30" i="3"/>
  <c r="S30" i="3"/>
  <c r="W29" i="3"/>
  <c r="U29" i="3"/>
  <c r="S29" i="3"/>
  <c r="W28" i="3"/>
  <c r="U28" i="3"/>
  <c r="S28" i="3"/>
  <c r="W27" i="3"/>
  <c r="U27" i="3"/>
  <c r="S27" i="3"/>
  <c r="W26" i="3"/>
  <c r="U26" i="3"/>
  <c r="S26" i="3"/>
  <c r="W25" i="3"/>
  <c r="U25" i="3"/>
  <c r="S25" i="3"/>
  <c r="W24" i="3"/>
  <c r="U24" i="3"/>
  <c r="S24" i="3"/>
  <c r="W23" i="3"/>
  <c r="U23" i="3"/>
  <c r="S23" i="3"/>
  <c r="G4" i="5"/>
  <c r="F3" i="4"/>
</calcChain>
</file>

<file path=xl/sharedStrings.xml><?xml version="1.0" encoding="utf-8"?>
<sst xmlns="http://schemas.openxmlformats.org/spreadsheetml/2006/main" count="101" uniqueCount="27">
  <si>
    <t>Номер</t>
  </si>
  <si>
    <t>Ф.И.О.</t>
  </si>
  <si>
    <t>Направление</t>
  </si>
  <si>
    <t>Иванов И.И.</t>
  </si>
  <si>
    <t>Зорова З.З.</t>
  </si>
  <si>
    <t>Тульский Т.Т.</t>
  </si>
  <si>
    <t>Римский Р.Р.</t>
  </si>
  <si>
    <t>Комов К.К.</t>
  </si>
  <si>
    <t>ИСТ</t>
  </si>
  <si>
    <t>ПИ</t>
  </si>
  <si>
    <t xml:space="preserve">Название </t>
  </si>
  <si>
    <t>Быллы</t>
  </si>
  <si>
    <t>Расчет траектории</t>
  </si>
  <si>
    <t>Вероятность события</t>
  </si>
  <si>
    <t>Поиск альтернатив</t>
  </si>
  <si>
    <t>Система оповещения</t>
  </si>
  <si>
    <t>Автоматическая рассылка сообщений</t>
  </si>
  <si>
    <t>Петров П.П.</t>
  </si>
  <si>
    <t>Маркова М.М.</t>
  </si>
  <si>
    <t>Студент</t>
  </si>
  <si>
    <t>Работа</t>
  </si>
  <si>
    <t>Баллы</t>
  </si>
  <si>
    <t>Дата</t>
  </si>
  <si>
    <t>Н_Студ</t>
  </si>
  <si>
    <t>Н_раб</t>
  </si>
  <si>
    <t>Код</t>
  </si>
  <si>
    <t>Сегодня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</si>
</sst>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Protection="1"/>
    <xf numFmtId="0" fontId="0" fillId="0" borderId="0" xfId="0" applyBorder="1" applyAlignment="1" applyProtection="1">
      <alignment horizontal="right" vertical="center"/>
    </xf>
    <xf numFmtId="0" fontId="0" fillId="0" borderId="0" xfId="0" applyAlignment="1" applyProtection="1">
      <alignment vertical="center"/>
    </xf>
    <xf numFmtId="0" fontId="0" fillId="0" borderId="1" xfId="0" applyBorder="1"/>
    <xf numFmtId="0" fontId="0" fillId="0" borderId="4" xfId="0" applyBorder="1"/>
    <xf numFmtId="0" fontId="0" fillId="0" borderId="0" xfId="0" applyAlignment="1" applyProtection="1">
      <alignment horizontal="center" vertical="center"/>
    </xf>
    <xf numFmtId="0" fontId="3" fillId="2" borderId="0" xfId="0" applyFont="1" applyFill="1" applyBorder="1"/>
    <xf numFmtId="0" fontId="1" fillId="2" borderId="0" xfId="0" applyFont="1" applyFill="1" applyBorder="1"/>
    <xf numFmtId="0" fontId="0" fillId="0" borderId="0" xfId="0" applyAlignment="1"/>
    <xf numFmtId="0" fontId="3" fillId="2" borderId="0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4" fillId="0" borderId="13" xfId="0" applyFont="1" applyBorder="1" applyAlignment="1">
      <alignment horizontal="center" vertical="center"/>
    </xf>
    <xf numFmtId="0" fontId="4" fillId="0" borderId="0" xfId="0" applyFont="1" applyBorder="1"/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3" fillId="2" borderId="0" xfId="0" applyNumberFormat="1" applyFont="1" applyFill="1" applyBorder="1"/>
    <xf numFmtId="0" fontId="0" fillId="0" borderId="0" xfId="0" applyBorder="1" applyAlignment="1">
      <alignment vertical="center"/>
    </xf>
    <xf numFmtId="0" fontId="0" fillId="0" borderId="0" xfId="0" applyAlignment="1">
      <alignment horizontal="center"/>
    </xf>
    <xf numFmtId="0" fontId="1" fillId="2" borderId="14" xfId="0" applyFont="1" applyFill="1" applyBorder="1"/>
    <xf numFmtId="0" fontId="1" fillId="2" borderId="11" xfId="0" applyFont="1" applyFill="1" applyBorder="1" applyAlignment="1">
      <alignment horizontal="center" vertical="center"/>
    </xf>
    <xf numFmtId="14" fontId="1" fillId="2" borderId="11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31"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28575</xdr:rowOff>
        </xdr:from>
        <xdr:to>
          <xdr:col>5</xdr:col>
          <xdr:colOff>552450</xdr:colOff>
          <xdr:row>0</xdr:row>
          <xdr:rowOff>333375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xmlns="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47625</xdr:rowOff>
        </xdr:from>
        <xdr:to>
          <xdr:col>10</xdr:col>
          <xdr:colOff>133350</xdr:colOff>
          <xdr:row>0</xdr:row>
          <xdr:rowOff>333375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xmlns="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0</xdr:row>
          <xdr:rowOff>38100</xdr:rowOff>
        </xdr:from>
        <xdr:to>
          <xdr:col>6</xdr:col>
          <xdr:colOff>561975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47625</xdr:rowOff>
        </xdr:from>
        <xdr:to>
          <xdr:col>10</xdr:col>
          <xdr:colOff>457200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47625</xdr:rowOff>
        </xdr:from>
        <xdr:to>
          <xdr:col>10</xdr:col>
          <xdr:colOff>495300</xdr:colOff>
          <xdr:row>1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38100</xdr:rowOff>
        </xdr:from>
        <xdr:to>
          <xdr:col>10</xdr:col>
          <xdr:colOff>495300</xdr:colOff>
          <xdr:row>2</xdr:row>
          <xdr:rowOff>333375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266700</xdr:rowOff>
        </xdr:from>
        <xdr:to>
          <xdr:col>4</xdr:col>
          <xdr:colOff>323850</xdr:colOff>
          <xdr:row>1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85725</xdr:rowOff>
        </xdr:from>
        <xdr:to>
          <xdr:col>4</xdr:col>
          <xdr:colOff>323850</xdr:colOff>
          <xdr:row>3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Назад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38100</xdr:rowOff>
        </xdr:from>
        <xdr:to>
          <xdr:col>5</xdr:col>
          <xdr:colOff>419100</xdr:colOff>
          <xdr:row>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5EA2B934-DCB4-49E3-9AD7-B149DD050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3</xdr:row>
          <xdr:rowOff>47625</xdr:rowOff>
        </xdr:from>
        <xdr:to>
          <xdr:col>5</xdr:col>
          <xdr:colOff>419100</xdr:colOff>
          <xdr:row>4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8EF1287D-0926-4624-A9C0-7F4473887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Назад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9525</xdr:rowOff>
        </xdr:from>
        <xdr:to>
          <xdr:col>4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3</xdr:row>
          <xdr:rowOff>76200</xdr:rowOff>
        </xdr:from>
        <xdr:to>
          <xdr:col>4</xdr:col>
          <xdr:colOff>428625</xdr:colOff>
          <xdr:row>3</xdr:row>
          <xdr:rowOff>333375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Назад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4:C11" totalsRowShown="0" headerRowDxfId="30">
  <tableColumns count="3">
    <tableColumn id="1" name="Ф.И.О." dataDxfId="29"/>
    <tableColumn id="2" name="Номер" dataDxfId="28"/>
    <tableColumn id="3" name="Направление" dataDxfId="27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1:C2" totalsRowShown="0" headerRowDxfId="26" dataDxfId="25">
  <tableColumns count="3">
    <tableColumn id="1" name="Ф.И.О." dataDxfId="24"/>
    <tableColumn id="2" name="Номер" dataDxfId="23"/>
    <tableColumn id="3" name="Направление" dataDxfId="2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B4:D9" totalsRowShown="0" headerRowDxfId="21" headerRowBorderDxfId="20" tableBorderDxfId="19" totalsRowBorderDxfId="18">
  <sortState ref="B5:D9">
    <sortCondition descending="1" ref="C5"/>
  </sortState>
  <tableColumns count="3">
    <tableColumn id="1" name="Название " dataDxfId="17"/>
    <tableColumn id="2" name="Номер" dataDxfId="16"/>
    <tableColumn id="3" name="Быллы" dataDxfId="15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5" name="Таблица5" displayName="Таблица5" ref="B1:D2" totalsRowShown="0" headerRowDxfId="14" dataDxfId="13">
  <tableColumns count="3">
    <tableColumn id="1" name="Название " dataDxfId="12"/>
    <tableColumn id="2" name="Номер" dataDxfId="11"/>
    <tableColumn id="3" name="Быллы" dataDxfId="1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3" name="Таблица3" displayName="Таблица3" ref="A5:G15" totalsRowShown="0">
  <sortState ref="A6:G15">
    <sortCondition descending="1" ref="A6"/>
  </sortState>
  <tableColumns count="7">
    <tableColumn id="1" name="Номер"/>
    <tableColumn id="2" name="Н_Студ">
      <calculatedColumnFormula>VLOOKUP(C6,Студенты!$A$4:$C$1053,2,FALSE)</calculatedColumnFormula>
    </tableColumn>
    <tableColumn id="3" name="Студент"/>
    <tableColumn id="4" name="Н_раб">
      <calculatedColumnFormula>VLOOKUP(E6,ЛабРаб!$B$4:$D$414,2,FALSE)</calculatedColumnFormula>
    </tableColumn>
    <tableColumn id="5" name="Работа"/>
    <tableColumn id="6" name="Баллы">
      <calculatedColumnFormula>VLOOKUP(E6,ЛабРаб!$B$4:$D$163,3,FALSE)</calculatedColumnFormula>
    </tableColumn>
    <tableColumn id="7" name="Дата" dataDxfId="9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1:G3" totalsRowShown="0" headerRowDxfId="8" dataDxfId="7">
  <tableColumns count="7">
    <tableColumn id="1" name="Номер" dataDxfId="6"/>
    <tableColumn id="2" name="Н_Студ" dataDxfId="5"/>
    <tableColumn id="3" name="Студент" dataDxfId="4"/>
    <tableColumn id="4" name="Н_раб" dataDxfId="3"/>
    <tableColumn id="5" name="Работа" dataDxfId="2"/>
    <tableColumn id="6" name="Баллы" dataDxfId="1"/>
    <tableColumn id="7" name="Дата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P19"/>
  <sheetViews>
    <sheetView workbookViewId="0">
      <selection activeCell="B2" sqref="B2"/>
    </sheetView>
  </sheetViews>
  <sheetFormatPr defaultRowHeight="15" x14ac:dyDescent="0.25"/>
  <cols>
    <col min="1" max="1" width="14.140625" bestFit="1" customWidth="1"/>
    <col min="2" max="2" width="14.140625" style="10" bestFit="1" customWidth="1"/>
    <col min="3" max="3" width="19.42578125" customWidth="1"/>
    <col min="4" max="4" width="13.42578125" bestFit="1" customWidth="1"/>
    <col min="8" max="8" width="9.28515625" customWidth="1"/>
    <col min="9" max="9" width="9.42578125" customWidth="1"/>
    <col min="10" max="10" width="15.42578125" customWidth="1"/>
  </cols>
  <sheetData>
    <row r="1" spans="1:16" ht="30" customHeight="1" x14ac:dyDescent="0.25">
      <c r="A1" s="19" t="s">
        <v>1</v>
      </c>
      <c r="B1" s="19" t="s">
        <v>0</v>
      </c>
      <c r="C1" s="19" t="s">
        <v>2</v>
      </c>
      <c r="H1" s="5">
        <v>1</v>
      </c>
    </row>
    <row r="2" spans="1:16" x14ac:dyDescent="0.25">
      <c r="A2" s="17"/>
      <c r="B2" s="4"/>
      <c r="C2" s="17"/>
    </row>
    <row r="3" spans="1:16" x14ac:dyDescent="0.25">
      <c r="E3" s="7"/>
      <c r="F3" s="6"/>
      <c r="G3" s="7"/>
    </row>
    <row r="4" spans="1:16" x14ac:dyDescent="0.25">
      <c r="A4" s="4" t="s">
        <v>1</v>
      </c>
      <c r="B4" s="15" t="s">
        <v>0</v>
      </c>
      <c r="C4" s="4" t="s">
        <v>2</v>
      </c>
      <c r="I4" s="18"/>
      <c r="J4" s="18"/>
      <c r="K4" s="18"/>
      <c r="M4" s="35"/>
      <c r="N4" s="35"/>
    </row>
    <row r="5" spans="1:16" x14ac:dyDescent="0.25">
      <c r="A5" s="7" t="s">
        <v>18</v>
      </c>
      <c r="B5" s="11">
        <v>7</v>
      </c>
      <c r="C5" s="7" t="s">
        <v>8</v>
      </c>
    </row>
    <row r="6" spans="1:16" x14ac:dyDescent="0.25">
      <c r="A6" s="3" t="s">
        <v>17</v>
      </c>
      <c r="B6" s="12">
        <v>6</v>
      </c>
      <c r="C6" s="3" t="s">
        <v>9</v>
      </c>
    </row>
    <row r="7" spans="1:16" x14ac:dyDescent="0.25">
      <c r="A7" s="3" t="s">
        <v>7</v>
      </c>
      <c r="B7" s="12">
        <v>5</v>
      </c>
      <c r="C7" s="3" t="s">
        <v>8</v>
      </c>
    </row>
    <row r="8" spans="1:16" x14ac:dyDescent="0.25">
      <c r="A8" s="3" t="s">
        <v>6</v>
      </c>
      <c r="B8" s="12">
        <v>4</v>
      </c>
      <c r="C8" s="3" t="s">
        <v>9</v>
      </c>
      <c r="P8" s="2"/>
    </row>
    <row r="9" spans="1:16" x14ac:dyDescent="0.25">
      <c r="A9" s="3" t="s">
        <v>5</v>
      </c>
      <c r="B9" s="12">
        <v>3</v>
      </c>
      <c r="C9" s="3" t="s">
        <v>8</v>
      </c>
    </row>
    <row r="10" spans="1:16" x14ac:dyDescent="0.25">
      <c r="A10" s="3" t="s">
        <v>4</v>
      </c>
      <c r="B10" s="12">
        <v>2</v>
      </c>
      <c r="C10" s="3" t="s">
        <v>9</v>
      </c>
    </row>
    <row r="11" spans="1:16" x14ac:dyDescent="0.25">
      <c r="A11" s="3" t="s">
        <v>3</v>
      </c>
      <c r="B11" s="12">
        <v>1</v>
      </c>
      <c r="C11" s="3" t="s">
        <v>8</v>
      </c>
    </row>
    <row r="18" spans="4:6" x14ac:dyDescent="0.25">
      <c r="D18" s="7"/>
      <c r="F18" s="7"/>
    </row>
    <row r="19" spans="4:6" x14ac:dyDescent="0.25">
      <c r="E19" s="6"/>
    </row>
  </sheetData>
  <mergeCells count="1">
    <mergeCell ref="M4:N4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Add_0">
                <anchor moveWithCells="1" sizeWithCells="1">
                  <from>
                    <xdr:col>4</xdr:col>
                    <xdr:colOff>66675</xdr:colOff>
                    <xdr:row>0</xdr:row>
                    <xdr:rowOff>28575</xdr:rowOff>
                  </from>
                  <to>
                    <xdr:col>5</xdr:col>
                    <xdr:colOff>552450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Макрос2">
                <anchor moveWithCells="1" sizeWithCells="1">
                  <from>
                    <xdr:col>8</xdr:col>
                    <xdr:colOff>114300</xdr:colOff>
                    <xdr:row>0</xdr:row>
                    <xdr:rowOff>47625</xdr:rowOff>
                  </from>
                  <to>
                    <xdr:col>10</xdr:col>
                    <xdr:colOff>133350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I9"/>
  <sheetViews>
    <sheetView workbookViewId="0">
      <selection activeCell="C2" sqref="C2"/>
    </sheetView>
  </sheetViews>
  <sheetFormatPr defaultRowHeight="15" x14ac:dyDescent="0.25"/>
  <cols>
    <col min="2" max="2" width="36.28515625" bestFit="1" customWidth="1"/>
    <col min="3" max="3" width="11.5703125" customWidth="1"/>
    <col min="4" max="4" width="14.28515625" customWidth="1"/>
  </cols>
  <sheetData>
    <row r="1" spans="2:9" ht="30.75" customHeight="1" x14ac:dyDescent="0.25">
      <c r="B1" s="16" t="s">
        <v>10</v>
      </c>
      <c r="C1" s="16" t="s">
        <v>0</v>
      </c>
      <c r="D1" s="16" t="s">
        <v>11</v>
      </c>
      <c r="I1" s="5">
        <v>2</v>
      </c>
    </row>
    <row r="2" spans="2:9" x14ac:dyDescent="0.25">
      <c r="B2" s="17"/>
      <c r="C2" s="5"/>
      <c r="D2" s="17"/>
    </row>
    <row r="4" spans="2:9" x14ac:dyDescent="0.25">
      <c r="B4" s="20" t="s">
        <v>10</v>
      </c>
      <c r="C4" s="21" t="s">
        <v>0</v>
      </c>
      <c r="D4" s="22" t="s">
        <v>11</v>
      </c>
    </row>
    <row r="5" spans="2:9" x14ac:dyDescent="0.25">
      <c r="B5" s="23" t="s">
        <v>16</v>
      </c>
      <c r="C5" s="13">
        <v>5</v>
      </c>
      <c r="D5" s="24">
        <v>23</v>
      </c>
    </row>
    <row r="6" spans="2:9" x14ac:dyDescent="0.25">
      <c r="B6" s="23" t="s">
        <v>15</v>
      </c>
      <c r="C6" s="13">
        <v>4</v>
      </c>
      <c r="D6" s="24">
        <v>11</v>
      </c>
    </row>
    <row r="7" spans="2:9" x14ac:dyDescent="0.25">
      <c r="B7" s="23" t="s">
        <v>14</v>
      </c>
      <c r="C7" s="13">
        <v>3</v>
      </c>
      <c r="D7" s="24">
        <v>15</v>
      </c>
    </row>
    <row r="8" spans="2:9" x14ac:dyDescent="0.25">
      <c r="B8" s="25" t="s">
        <v>13</v>
      </c>
      <c r="C8" s="26">
        <v>2</v>
      </c>
      <c r="D8" s="27">
        <v>8</v>
      </c>
    </row>
    <row r="9" spans="2:9" x14ac:dyDescent="0.25">
      <c r="B9" s="25" t="s">
        <v>12</v>
      </c>
      <c r="C9" s="26">
        <v>1</v>
      </c>
      <c r="D9" s="27">
        <v>12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dd_2">
                <anchor moveWithCells="1" sizeWithCells="1">
                  <from>
                    <xdr:col>5</xdr:col>
                    <xdr:colOff>142875</xdr:colOff>
                    <xdr:row>0</xdr:row>
                    <xdr:rowOff>38100</xdr:rowOff>
                  </from>
                  <to>
                    <xdr:col>6</xdr:col>
                    <xdr:colOff>561975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Макрос3">
                <anchor moveWithCells="1" sizeWithCells="1">
                  <from>
                    <xdr:col>9</xdr:col>
                    <xdr:colOff>95250</xdr:colOff>
                    <xdr:row>0</xdr:row>
                    <xdr:rowOff>47625</xdr:rowOff>
                  </from>
                  <to>
                    <xdr:col>10</xdr:col>
                    <xdr:colOff>457200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X32"/>
  <sheetViews>
    <sheetView tabSelected="1" workbookViewId="0">
      <selection activeCell="G3" sqref="G3"/>
    </sheetView>
  </sheetViews>
  <sheetFormatPr defaultRowHeight="15" x14ac:dyDescent="0.25"/>
  <cols>
    <col min="1" max="1" width="9.42578125" customWidth="1"/>
    <col min="2" max="2" width="11" customWidth="1"/>
    <col min="3" max="3" width="16.28515625" customWidth="1"/>
    <col min="5" max="5" width="36.28515625" bestFit="1" customWidth="1"/>
    <col min="6" max="6" width="10.140625" bestFit="1" customWidth="1"/>
    <col min="7" max="7" width="10.140625" style="1" bestFit="1" customWidth="1"/>
    <col min="20" max="20" width="10.140625" bestFit="1" customWidth="1"/>
  </cols>
  <sheetData>
    <row r="1" spans="1:9" x14ac:dyDescent="0.25">
      <c r="A1" s="16" t="s">
        <v>0</v>
      </c>
      <c r="B1" s="16" t="s">
        <v>23</v>
      </c>
      <c r="C1" s="16" t="s">
        <v>19</v>
      </c>
      <c r="D1" s="16" t="s">
        <v>24</v>
      </c>
      <c r="E1" s="16" t="s">
        <v>20</v>
      </c>
      <c r="F1" s="16" t="s">
        <v>21</v>
      </c>
      <c r="G1" s="33" t="s">
        <v>22</v>
      </c>
    </row>
    <row r="2" spans="1:9" x14ac:dyDescent="0.25">
      <c r="A2" s="5"/>
      <c r="B2" s="5"/>
      <c r="C2" s="17"/>
      <c r="D2" s="5"/>
      <c r="E2" s="17"/>
      <c r="F2" s="17"/>
      <c r="G2" s="30"/>
    </row>
    <row r="3" spans="1:9" ht="28.5" customHeight="1" x14ac:dyDescent="0.25">
      <c r="A3" s="37"/>
      <c r="B3" s="37"/>
      <c r="C3" s="17"/>
      <c r="D3" s="37"/>
      <c r="E3" s="17"/>
      <c r="F3" s="36"/>
      <c r="G3" s="38"/>
      <c r="I3" s="5">
        <v>5</v>
      </c>
    </row>
    <row r="4" spans="1:9" x14ac:dyDescent="0.25">
      <c r="I4" s="34"/>
    </row>
    <row r="5" spans="1:9" x14ac:dyDescent="0.25">
      <c r="A5" t="s">
        <v>0</v>
      </c>
      <c r="B5" t="s">
        <v>23</v>
      </c>
      <c r="C5" t="s">
        <v>19</v>
      </c>
      <c r="D5" t="s">
        <v>24</v>
      </c>
      <c r="E5" t="s">
        <v>20</v>
      </c>
      <c r="F5" t="s">
        <v>21</v>
      </c>
      <c r="G5" s="1" t="s">
        <v>22</v>
      </c>
    </row>
    <row r="6" spans="1:9" x14ac:dyDescent="0.25">
      <c r="A6">
        <v>12</v>
      </c>
      <c r="B6">
        <f>VLOOKUP(C6,Студенты!$A$4:$C$1053,2,FALSE)</f>
        <v>6</v>
      </c>
      <c r="C6" t="s">
        <v>17</v>
      </c>
      <c r="D6">
        <f>VLOOKUP(E6,ЛабРаб!$B$4:$D$414,2,FALSE)</f>
        <v>2</v>
      </c>
      <c r="E6" t="s">
        <v>13</v>
      </c>
      <c r="F6">
        <f>VLOOKUP(E6,ЛабРаб!$B$4:$D$163,3,FALSE)</f>
        <v>8</v>
      </c>
      <c r="G6" s="1">
        <v>43741</v>
      </c>
    </row>
    <row r="7" spans="1:9" x14ac:dyDescent="0.25">
      <c r="A7">
        <v>11</v>
      </c>
      <c r="B7">
        <f>VLOOKUP(C7,Студенты!$A$4:$C$1053,2,FALSE)</f>
        <v>7</v>
      </c>
      <c r="C7" t="s">
        <v>18</v>
      </c>
      <c r="D7">
        <f>VLOOKUP(E7,ЛабРаб!$B$4:$D$414,2,FALSE)</f>
        <v>1</v>
      </c>
      <c r="E7" t="s">
        <v>12</v>
      </c>
      <c r="F7">
        <f>VLOOKUP(E7,ЛабРаб!$B$4:$D$163,3,FALSE)</f>
        <v>12</v>
      </c>
      <c r="G7" s="1">
        <v>43739</v>
      </c>
    </row>
    <row r="8" spans="1:9" x14ac:dyDescent="0.25">
      <c r="A8">
        <v>10</v>
      </c>
      <c r="B8">
        <f>VLOOKUP(C8,Студенты!$A$4:$C$1053,2,FALSE)</f>
        <v>1</v>
      </c>
      <c r="C8" t="s">
        <v>3</v>
      </c>
      <c r="D8">
        <f>VLOOKUP(E8,ЛабРаб!$B$4:$D$414,2,FALSE)</f>
        <v>4</v>
      </c>
      <c r="E8" t="s">
        <v>15</v>
      </c>
      <c r="F8">
        <f>VLOOKUP(E8,ЛабРаб!$B$4:$D$163,3,FALSE)</f>
        <v>11</v>
      </c>
      <c r="G8" s="1">
        <v>43717</v>
      </c>
    </row>
    <row r="9" spans="1:9" x14ac:dyDescent="0.25">
      <c r="A9">
        <v>9</v>
      </c>
      <c r="B9">
        <f>VLOOKUP(C9,Студенты!$A$4:$C$1053,2,FALSE)</f>
        <v>2</v>
      </c>
      <c r="C9" t="s">
        <v>4</v>
      </c>
      <c r="D9">
        <f>VLOOKUP(E9,ЛабРаб!$B$4:$D$414,2,FALSE)</f>
        <v>3</v>
      </c>
      <c r="E9" t="s">
        <v>14</v>
      </c>
      <c r="F9">
        <f>VLOOKUP(E9,ЛабРаб!$B$4:$D$163,3,FALSE)</f>
        <v>15</v>
      </c>
      <c r="G9" s="1">
        <v>43737</v>
      </c>
    </row>
    <row r="10" spans="1:9" x14ac:dyDescent="0.25">
      <c r="A10">
        <v>8</v>
      </c>
      <c r="B10">
        <f>VLOOKUP(C10,Студенты!$A$4:$C$1053,2,FALSE)</f>
        <v>3</v>
      </c>
      <c r="C10" t="s">
        <v>5</v>
      </c>
      <c r="D10">
        <f>VLOOKUP(E10,ЛабРаб!$B$4:$D$414,2,FALSE)</f>
        <v>2</v>
      </c>
      <c r="E10" t="s">
        <v>13</v>
      </c>
      <c r="F10">
        <f>VLOOKUP(E10,ЛабРаб!$B$4:$D$163,3,FALSE)</f>
        <v>8</v>
      </c>
      <c r="G10" s="1">
        <v>43733</v>
      </c>
    </row>
    <row r="11" spans="1:9" x14ac:dyDescent="0.25">
      <c r="A11">
        <v>7</v>
      </c>
      <c r="B11">
        <f>VLOOKUP(C11,Студенты!$A$4:$C$1053,2,FALSE)</f>
        <v>4</v>
      </c>
      <c r="C11" t="s">
        <v>6</v>
      </c>
      <c r="D11">
        <f>VLOOKUP(E11,ЛабРаб!$B$4:$D$414,2,FALSE)</f>
        <v>1</v>
      </c>
      <c r="E11" t="s">
        <v>12</v>
      </c>
      <c r="F11">
        <f>VLOOKUP(E11,ЛабРаб!$B$4:$D$163,3,FALSE)</f>
        <v>12</v>
      </c>
      <c r="G11" s="1">
        <v>43737</v>
      </c>
    </row>
    <row r="12" spans="1:9" x14ac:dyDescent="0.25">
      <c r="A12">
        <v>5</v>
      </c>
      <c r="B12">
        <f>VLOOKUP(C12,Студенты!$A$4:$C$1053,2,FALSE)</f>
        <v>5</v>
      </c>
      <c r="C12" t="s">
        <v>7</v>
      </c>
      <c r="D12">
        <f>VLOOKUP(E12,ЛабРаб!$B$4:$D$414,2,FALSE)</f>
        <v>3</v>
      </c>
      <c r="E12" t="s">
        <v>14</v>
      </c>
      <c r="F12">
        <f>VLOOKUP(E12,ЛабРаб!$B$4:$D$163,3,FALSE)</f>
        <v>15</v>
      </c>
      <c r="G12" s="1">
        <v>43726</v>
      </c>
    </row>
    <row r="13" spans="1:9" x14ac:dyDescent="0.25">
      <c r="A13">
        <v>3</v>
      </c>
      <c r="B13">
        <f>VLOOKUP(C13,Студенты!$A$4:$C$1053,2,FALSE)</f>
        <v>1</v>
      </c>
      <c r="C13" t="s">
        <v>3</v>
      </c>
      <c r="D13">
        <f>VLOOKUP(E13,ЛабРаб!$B$4:$D$414,2,FALSE)</f>
        <v>2</v>
      </c>
      <c r="E13" t="s">
        <v>13</v>
      </c>
      <c r="F13">
        <f>VLOOKUP(E13,ЛабРаб!$B$4:$D$163,3,FALSE)</f>
        <v>8</v>
      </c>
      <c r="G13" s="1">
        <v>43723</v>
      </c>
    </row>
    <row r="14" spans="1:9" x14ac:dyDescent="0.25">
      <c r="A14">
        <v>2</v>
      </c>
      <c r="B14">
        <f>VLOOKUP(C14,Студенты!$A$4:$C$1053,2,FALSE)</f>
        <v>2</v>
      </c>
      <c r="C14" t="s">
        <v>4</v>
      </c>
      <c r="D14">
        <f>VLOOKUP(E14,ЛабРаб!$B$4:$D$414,2,FALSE)</f>
        <v>1</v>
      </c>
      <c r="E14" t="s">
        <v>12</v>
      </c>
      <c r="F14">
        <f>VLOOKUP(E14,ЛабРаб!$B$4:$D$163,3,FALSE)</f>
        <v>12</v>
      </c>
      <c r="G14" s="1">
        <v>43727</v>
      </c>
    </row>
    <row r="15" spans="1:9" x14ac:dyDescent="0.25">
      <c r="A15">
        <v>1</v>
      </c>
      <c r="B15">
        <f>VLOOKUP(C15,Студенты!$A$4:$C$1053,2,FALSE)</f>
        <v>1</v>
      </c>
      <c r="C15" t="s">
        <v>3</v>
      </c>
      <c r="D15">
        <f>VLOOKUP(E15,ЛабРаб!$B$4:$D$414,2,FALSE)</f>
        <v>1</v>
      </c>
      <c r="E15" t="s">
        <v>12</v>
      </c>
      <c r="F15">
        <f>VLOOKUP(E15,ЛабРаб!$B$4:$D$163,3,FALSE)</f>
        <v>12</v>
      </c>
      <c r="G15" s="1">
        <v>43719</v>
      </c>
    </row>
    <row r="23" spans="18:24" x14ac:dyDescent="0.25">
      <c r="R23">
        <v>1</v>
      </c>
      <c r="S23">
        <f>VLOOKUP(T23,Студенты!$A$4:$C$1053,2,FALSE)</f>
        <v>1</v>
      </c>
      <c r="T23" t="s">
        <v>3</v>
      </c>
      <c r="U23">
        <f>VLOOKUP(V23,ЛабРаб!$B$4:$D$414,2,FALSE)</f>
        <v>1</v>
      </c>
      <c r="V23" t="s">
        <v>12</v>
      </c>
      <c r="W23">
        <f>VLOOKUP(V23,ЛабРаб!$B$4:$D$163,3,FALSE)</f>
        <v>12</v>
      </c>
      <c r="X23" s="1">
        <v>43719</v>
      </c>
    </row>
    <row r="24" spans="18:24" x14ac:dyDescent="0.25">
      <c r="R24">
        <v>2</v>
      </c>
      <c r="S24">
        <f>VLOOKUP(T24,Студенты!$A$4:$C$1053,2,FALSE)</f>
        <v>2</v>
      </c>
      <c r="T24" t="s">
        <v>4</v>
      </c>
      <c r="U24">
        <f>VLOOKUP(V24,ЛабРаб!$B$4:$D$414,2,FALSE)</f>
        <v>1</v>
      </c>
      <c r="V24" t="s">
        <v>12</v>
      </c>
      <c r="W24">
        <f>VLOOKUP(V24,ЛабРаб!$B$4:$D$163,3,FALSE)</f>
        <v>12</v>
      </c>
      <c r="X24" s="1">
        <v>43727</v>
      </c>
    </row>
    <row r="25" spans="18:24" x14ac:dyDescent="0.25">
      <c r="R25">
        <v>3</v>
      </c>
      <c r="S25">
        <f>VLOOKUP(T25,Студенты!$A$4:$C$1053,2,FALSE)</f>
        <v>1</v>
      </c>
      <c r="T25" t="s">
        <v>3</v>
      </c>
      <c r="U25">
        <f>VLOOKUP(V25,ЛабРаб!$B$4:$D$414,2,FALSE)</f>
        <v>2</v>
      </c>
      <c r="V25" t="s">
        <v>13</v>
      </c>
      <c r="W25">
        <f>VLOOKUP(V25,ЛабРаб!$B$4:$D$163,3,FALSE)</f>
        <v>8</v>
      </c>
      <c r="X25" s="1">
        <v>43723</v>
      </c>
    </row>
    <row r="26" spans="18:24" x14ac:dyDescent="0.25">
      <c r="R26">
        <v>5</v>
      </c>
      <c r="S26">
        <f>VLOOKUP(T26,Студенты!$A$4:$C$1053,2,FALSE)</f>
        <v>5</v>
      </c>
      <c r="T26" t="s">
        <v>7</v>
      </c>
      <c r="U26">
        <f>VLOOKUP(V26,ЛабРаб!$B$4:$D$414,2,FALSE)</f>
        <v>3</v>
      </c>
      <c r="V26" t="s">
        <v>14</v>
      </c>
      <c r="W26">
        <f>VLOOKUP(V26,ЛабРаб!$B$4:$D$163,3,FALSE)</f>
        <v>15</v>
      </c>
      <c r="X26" s="1">
        <v>43726</v>
      </c>
    </row>
    <row r="27" spans="18:24" x14ac:dyDescent="0.25">
      <c r="R27">
        <v>7</v>
      </c>
      <c r="S27">
        <f>VLOOKUP(T27,Студенты!$A$4:$C$1053,2,FALSE)</f>
        <v>4</v>
      </c>
      <c r="T27" t="s">
        <v>6</v>
      </c>
      <c r="U27">
        <f>VLOOKUP(V27,ЛабРаб!$B$4:$D$414,2,FALSE)</f>
        <v>1</v>
      </c>
      <c r="V27" t="s">
        <v>12</v>
      </c>
      <c r="W27">
        <f>VLOOKUP(V27,ЛабРаб!$B$4:$D$163,3,FALSE)</f>
        <v>12</v>
      </c>
      <c r="X27" s="1">
        <v>43737</v>
      </c>
    </row>
    <row r="28" spans="18:24" x14ac:dyDescent="0.25">
      <c r="R28">
        <v>8</v>
      </c>
      <c r="S28">
        <f>VLOOKUP(T28,Студенты!$A$4:$C$1053,2,FALSE)</f>
        <v>3</v>
      </c>
      <c r="T28" t="s">
        <v>5</v>
      </c>
      <c r="U28">
        <f>VLOOKUP(V28,ЛабРаб!$B$4:$D$414,2,FALSE)</f>
        <v>2</v>
      </c>
      <c r="V28" t="s">
        <v>13</v>
      </c>
      <c r="W28">
        <f>VLOOKUP(V28,ЛабРаб!$B$4:$D$163,3,FALSE)</f>
        <v>8</v>
      </c>
      <c r="X28" s="1">
        <v>43733</v>
      </c>
    </row>
    <row r="29" spans="18:24" x14ac:dyDescent="0.25">
      <c r="R29">
        <v>9</v>
      </c>
      <c r="S29">
        <f>VLOOKUP(T29,Студенты!$A$4:$C$1053,2,FALSE)</f>
        <v>2</v>
      </c>
      <c r="T29" t="s">
        <v>4</v>
      </c>
      <c r="U29">
        <f>VLOOKUP(V29,ЛабРаб!$B$4:$D$414,2,FALSE)</f>
        <v>3</v>
      </c>
      <c r="V29" t="s">
        <v>14</v>
      </c>
      <c r="W29">
        <f>VLOOKUP(V29,ЛабРаб!$B$4:$D$163,3,FALSE)</f>
        <v>15</v>
      </c>
      <c r="X29" s="1">
        <v>43737</v>
      </c>
    </row>
    <row r="30" spans="18:24" x14ac:dyDescent="0.25">
      <c r="R30">
        <v>10</v>
      </c>
      <c r="S30">
        <f>VLOOKUP(T30,Студенты!$A$4:$C$1053,2,FALSE)</f>
        <v>1</v>
      </c>
      <c r="T30" t="s">
        <v>3</v>
      </c>
      <c r="U30">
        <f>VLOOKUP(V30,ЛабРаб!$B$4:$D$414,2,FALSE)</f>
        <v>4</v>
      </c>
      <c r="V30" t="s">
        <v>15</v>
      </c>
      <c r="W30">
        <f>VLOOKUP(V30,ЛабРаб!$B$4:$D$163,3,FALSE)</f>
        <v>11</v>
      </c>
      <c r="X30" s="1">
        <v>43717</v>
      </c>
    </row>
    <row r="31" spans="18:24" x14ac:dyDescent="0.25">
      <c r="R31">
        <v>11</v>
      </c>
      <c r="S31">
        <f>VLOOKUP(T31,Студенты!$A$4:$C$1053,2,FALSE)</f>
        <v>7</v>
      </c>
      <c r="T31" t="s">
        <v>18</v>
      </c>
      <c r="U31">
        <f>VLOOKUP(V31,ЛабРаб!$B$4:$D$414,2,FALSE)</f>
        <v>1</v>
      </c>
      <c r="V31" t="s">
        <v>12</v>
      </c>
      <c r="W31">
        <f>VLOOKUP(V31,ЛабРаб!$B$4:$D$163,3,FALSE)</f>
        <v>12</v>
      </c>
      <c r="X31" s="1">
        <v>43739</v>
      </c>
    </row>
    <row r="32" spans="18:24" x14ac:dyDescent="0.25">
      <c r="R32">
        <v>12</v>
      </c>
      <c r="S32">
        <f>VLOOKUP(T32,Студенты!$A$4:$C$1053,2,FALSE)</f>
        <v>6</v>
      </c>
      <c r="T32" t="s">
        <v>17</v>
      </c>
      <c r="U32">
        <f>VLOOKUP(V32,ЛабРаб!$B$4:$D$414,2,FALSE)</f>
        <v>2</v>
      </c>
      <c r="V32" t="s">
        <v>13</v>
      </c>
      <c r="W32">
        <f>VLOOKUP(V32,ЛабРаб!$B$4:$D$163,3,FALSE)</f>
        <v>8</v>
      </c>
      <c r="X32" s="1">
        <v>43741</v>
      </c>
    </row>
  </sheetData>
  <dataValidations count="4">
    <dataValidation type="list" allowBlank="1" showInputMessage="1" showErrorMessage="1" sqref="C16:C188">
      <formula1>Ф</formula1>
    </dataValidation>
    <dataValidation type="list" showInputMessage="1" showErrorMessage="1" sqref="C189:C342">
      <formula1>Ф</formula1>
    </dataValidation>
    <dataValidation type="list" allowBlank="1" showInputMessage="1" showErrorMessage="1" sqref="V23:V32 E6:E15">
      <formula1>INDIRECT("Таблица2[Название ]")</formula1>
    </dataValidation>
    <dataValidation type="list" allowBlank="1" showInputMessage="1" showErrorMessage="1" sqref="T23:T32 C6:C15">
      <formula1>INDIRECT("Таблица1[Ф.И.О.]")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Макрос10">
                <anchor moveWithCells="1" sizeWithCells="1">
                  <from>
                    <xdr:col>8</xdr:col>
                    <xdr:colOff>66675</xdr:colOff>
                    <xdr:row>0</xdr:row>
                    <xdr:rowOff>47625</xdr:rowOff>
                  </from>
                  <to>
                    <xdr:col>10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Макрос12">
                <anchor moveWithCells="1" sizeWithCells="1">
                  <from>
                    <xdr:col>9</xdr:col>
                    <xdr:colOff>76200</xdr:colOff>
                    <xdr:row>2</xdr:row>
                    <xdr:rowOff>38100</xdr:rowOff>
                  </from>
                  <to>
                    <xdr:col>10</xdr:col>
                    <xdr:colOff>495300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F3"/>
  <sheetViews>
    <sheetView workbookViewId="0">
      <selection activeCell="F3" sqref="F3"/>
    </sheetView>
  </sheetViews>
  <sheetFormatPr defaultRowHeight="15" x14ac:dyDescent="0.25"/>
  <cols>
    <col min="1" max="1" width="13.42578125" bestFit="1" customWidth="1"/>
    <col min="2" max="2" width="31.140625" customWidth="1"/>
  </cols>
  <sheetData>
    <row r="1" spans="1:6" ht="21.75" customHeight="1" thickBot="1" x14ac:dyDescent="0.3">
      <c r="A1" s="8" t="s">
        <v>1</v>
      </c>
      <c r="B1" s="7"/>
      <c r="F1" s="5" t="s">
        <v>25</v>
      </c>
    </row>
    <row r="2" spans="1:6" ht="21" customHeight="1" thickBot="1" x14ac:dyDescent="0.3">
      <c r="A2" s="9" t="s">
        <v>0</v>
      </c>
      <c r="B2" s="6">
        <v>9</v>
      </c>
      <c r="F2" s="5">
        <v>7</v>
      </c>
    </row>
    <row r="3" spans="1:6" ht="22.5" customHeight="1" thickBot="1" x14ac:dyDescent="0.3">
      <c r="A3" s="9" t="s">
        <v>2</v>
      </c>
      <c r="B3" s="7"/>
      <c r="F3" s="2">
        <f>F2+1</f>
        <v>8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_1">
                <anchor moveWithCells="1" sizeWithCells="1">
                  <from>
                    <xdr:col>3</xdr:col>
                    <xdr:colOff>28575</xdr:colOff>
                    <xdr:row>0</xdr:row>
                    <xdr:rowOff>266700</xdr:rowOff>
                  </from>
                  <to>
                    <xdr:col>4</xdr:col>
                    <xdr:colOff>323850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ack_0">
                <anchor moveWithCells="1" sizeWithCells="1">
                  <from>
                    <xdr:col>3</xdr:col>
                    <xdr:colOff>28575</xdr:colOff>
                    <xdr:row>2</xdr:row>
                    <xdr:rowOff>85725</xdr:rowOff>
                  </from>
                  <to>
                    <xdr:col>4</xdr:col>
                    <xdr:colOff>323850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2:G4"/>
  <sheetViews>
    <sheetView workbookViewId="0">
      <selection activeCell="H17" sqref="H17"/>
    </sheetView>
  </sheetViews>
  <sheetFormatPr defaultRowHeight="15" x14ac:dyDescent="0.25"/>
  <cols>
    <col min="1" max="1" width="10" bestFit="1" customWidth="1"/>
    <col min="2" max="2" width="35.28515625" customWidth="1"/>
  </cols>
  <sheetData>
    <row r="2" spans="1:7" ht="15.75" thickBot="1" x14ac:dyDescent="0.3">
      <c r="A2" s="14" t="s">
        <v>10</v>
      </c>
      <c r="G2" s="13" t="s">
        <v>25</v>
      </c>
    </row>
    <row r="3" spans="1:7" ht="15.75" thickBot="1" x14ac:dyDescent="0.3">
      <c r="A3" s="14" t="s">
        <v>0</v>
      </c>
      <c r="B3">
        <v>6</v>
      </c>
      <c r="G3" s="13">
        <v>5</v>
      </c>
    </row>
    <row r="4" spans="1:7" ht="15.75" thickBot="1" x14ac:dyDescent="0.3">
      <c r="A4" s="14" t="s">
        <v>11</v>
      </c>
      <c r="G4" s="2">
        <f>G3+1</f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Макрос4">
                <anchor moveWithCells="1" sizeWithCells="1">
                  <from>
                    <xdr:col>4</xdr:col>
                    <xdr:colOff>123825</xdr:colOff>
                    <xdr:row>1</xdr:row>
                    <xdr:rowOff>38100</xdr:rowOff>
                  </from>
                  <to>
                    <xdr:col>5</xdr:col>
                    <xdr:colOff>419100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Макрос5">
                <anchor moveWithCells="1" sizeWithCells="1">
                  <from>
                    <xdr:col>4</xdr:col>
                    <xdr:colOff>123825</xdr:colOff>
                    <xdr:row>3</xdr:row>
                    <xdr:rowOff>47625</xdr:rowOff>
                  </from>
                  <to>
                    <xdr:col>5</xdr:col>
                    <xdr:colOff>419100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F7"/>
  <sheetViews>
    <sheetView workbookViewId="0">
      <selection activeCell="B3" sqref="B3"/>
    </sheetView>
  </sheetViews>
  <sheetFormatPr defaultRowHeight="15" x14ac:dyDescent="0.25"/>
  <cols>
    <col min="1" max="1" width="11.42578125" customWidth="1"/>
    <col min="2" max="2" width="31.7109375" customWidth="1"/>
    <col min="3" max="4" width="11.42578125" customWidth="1"/>
  </cols>
  <sheetData>
    <row r="1" spans="1:6" ht="23.25" customHeight="1" x14ac:dyDescent="0.25">
      <c r="C1" s="5" t="s">
        <v>26</v>
      </c>
      <c r="D1" s="30">
        <f ca="1">TODAY()</f>
        <v>43620</v>
      </c>
    </row>
    <row r="2" spans="1:6" ht="15.75" thickBot="1" x14ac:dyDescent="0.3">
      <c r="A2" s="28" t="s">
        <v>0</v>
      </c>
      <c r="B2" s="4">
        <v>13</v>
      </c>
      <c r="F2" s="5" t="s">
        <v>25</v>
      </c>
    </row>
    <row r="3" spans="1:6" ht="21" customHeight="1" thickBot="1" x14ac:dyDescent="0.3">
      <c r="A3" s="28" t="s">
        <v>19</v>
      </c>
      <c r="B3" s="32" t="s">
        <v>6</v>
      </c>
      <c r="F3" s="5">
        <v>12</v>
      </c>
    </row>
    <row r="4" spans="1:6" ht="27" customHeight="1" thickBot="1" x14ac:dyDescent="0.3">
      <c r="A4" s="28" t="s">
        <v>20</v>
      </c>
      <c r="B4" s="32" t="s">
        <v>13</v>
      </c>
      <c r="F4" s="2">
        <f>F3+1</f>
        <v>13</v>
      </c>
    </row>
    <row r="5" spans="1:6" ht="21" customHeight="1" thickBot="1" x14ac:dyDescent="0.3">
      <c r="A5" s="28" t="s">
        <v>22</v>
      </c>
      <c r="B5" s="31">
        <v>43620</v>
      </c>
    </row>
    <row r="7" spans="1:6" x14ac:dyDescent="0.25">
      <c r="A7" s="29"/>
    </row>
  </sheetData>
  <dataValidations count="3">
    <dataValidation type="list" allowBlank="1" showInputMessage="1" showErrorMessage="1" sqref="B3">
      <formula1>INDIRECT("Таблица1[Ф.И.О.]")</formula1>
    </dataValidation>
    <dataValidation operator="greaterThanOrEqual" allowBlank="1" showInputMessage="1" showErrorMessage="1" sqref="B5"/>
    <dataValidation type="list" allowBlank="1" showInputMessage="1" showErrorMessage="1" sqref="B4">
      <formula1>INDIRECT("Таблица2[Название 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Макрос7">
                <anchor moveWithCells="1" sizeWithCells="1">
                  <from>
                    <xdr:col>3</xdr:col>
                    <xdr:colOff>133350</xdr:colOff>
                    <xdr:row>2</xdr:row>
                    <xdr:rowOff>9525</xdr:rowOff>
                  </from>
                  <to>
                    <xdr:col>4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Макрос11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428625</xdr:colOff>
                    <xdr:row>3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9</vt:i4>
      </vt:variant>
    </vt:vector>
  </HeadingPairs>
  <TitlesOfParts>
    <vt:vector size="15" baseType="lpstr">
      <vt:lpstr>Студенты</vt:lpstr>
      <vt:lpstr>ЛабРаб</vt:lpstr>
      <vt:lpstr>Сдачи</vt:lpstr>
      <vt:lpstr>Ред_Ст</vt:lpstr>
      <vt:lpstr>Ред_ла</vt:lpstr>
      <vt:lpstr>СдачиРед</vt:lpstr>
      <vt:lpstr>ЛабРаб!Критерии</vt:lpstr>
      <vt:lpstr>Сдачи!Критерии</vt:lpstr>
      <vt:lpstr>Студенты!Критерии</vt:lpstr>
      <vt:lpstr>Маркова_М.М.</vt:lpstr>
      <vt:lpstr>Название</vt:lpstr>
      <vt:lpstr>Ф</vt:lpstr>
      <vt:lpstr>Ф.И.О.</vt:lpstr>
      <vt:lpstr>ФИ</vt:lpstr>
      <vt:lpstr>ФИО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Женя</dc:creator>
  <cp:lastModifiedBy>Пользователь Windows</cp:lastModifiedBy>
  <dcterms:created xsi:type="dcterms:W3CDTF">2019-05-26T06:33:03Z</dcterms:created>
  <dcterms:modified xsi:type="dcterms:W3CDTF">2019-06-04T07:15:33Z</dcterms:modified>
</cp:coreProperties>
</file>